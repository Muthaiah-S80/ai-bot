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0536\Downloads\"/>
    </mc:Choice>
  </mc:AlternateContent>
  <xr:revisionPtr revIDLastSave="0" documentId="13_ncr:1_{37BB36B2-1FF9-4981-8EE2-B26E9C7A0EA9}" xr6:coauthVersionLast="47" xr6:coauthVersionMax="47" xr10:uidLastSave="{00000000-0000-0000-0000-000000000000}"/>
  <bookViews>
    <workbookView xWindow="-110" yWindow="-110" windowWidth="19420" windowHeight="10300" activeTab="2" xr2:uid="{4D346C4D-59F7-41A3-B7E2-6EC589F20CF5}"/>
  </bookViews>
  <sheets>
    <sheet name="Setup" sheetId="1" r:id="rId1"/>
    <sheet name="Daily Tracker" sheetId="2" r:id="rId2"/>
    <sheet name="Dashboard" sheetId="3" r:id="rId3"/>
  </sheets>
  <definedNames>
    <definedName name="_xlchart.v1.0" hidden="1">Dashboard!$A$16:$A$25</definedName>
    <definedName name="_xlchart.v1.1" hidden="1">Dashboard!$B$16:$B$25</definedName>
    <definedName name="_xlchart.v1.2" hidden="1">Dashboard!$A$16:$A$25</definedName>
    <definedName name="_xlchart.v1.3" hidden="1">Dashboard!$B$16:$B$25</definedName>
    <definedName name="Category">Setup!$E$3:$E$12</definedName>
    <definedName name="Payment">Setup!$A$3:$A$5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4" i="2"/>
  <c r="E5" i="2"/>
  <c r="E6" i="2"/>
  <c r="E3" i="2"/>
  <c r="B6" i="3"/>
  <c r="B13" i="3"/>
  <c r="B11" i="3"/>
  <c r="B12" i="3"/>
  <c r="B10" i="3"/>
  <c r="B3" i="3"/>
  <c r="F4" i="1"/>
  <c r="B17" i="3" s="1"/>
  <c r="F5" i="1"/>
  <c r="B18" i="3" s="1"/>
  <c r="F6" i="1"/>
  <c r="B19" i="3" s="1"/>
  <c r="F7" i="1"/>
  <c r="B20" i="3" s="1"/>
  <c r="F8" i="1"/>
  <c r="B21" i="3" s="1"/>
  <c r="F9" i="1"/>
  <c r="B22" i="3" s="1"/>
  <c r="F10" i="1"/>
  <c r="B23" i="3" s="1"/>
  <c r="F11" i="1"/>
  <c r="B24" i="3" s="1"/>
  <c r="F12" i="1"/>
  <c r="B25" i="3" s="1"/>
  <c r="F3" i="1"/>
  <c r="B16" i="3" s="1"/>
  <c r="C4" i="1"/>
  <c r="C11" i="3" s="1"/>
  <c r="C5" i="1"/>
  <c r="C12" i="3" s="1"/>
  <c r="C3" i="1"/>
  <c r="C10" i="3" s="1"/>
  <c r="B6" i="1"/>
  <c r="F13" i="1" l="1"/>
  <c r="C6" i="1"/>
  <c r="C13" i="3" s="1"/>
  <c r="B4" i="3" l="1"/>
  <c r="B7" i="3" s="1"/>
  <c r="B26" i="3"/>
  <c r="B5" i="3" l="1"/>
</calcChain>
</file>

<file path=xl/sharedStrings.xml><?xml version="1.0" encoding="utf-8"?>
<sst xmlns="http://schemas.openxmlformats.org/spreadsheetml/2006/main" count="63" uniqueCount="34">
  <si>
    <t>Payment Mode</t>
  </si>
  <si>
    <t>Monthly Balance</t>
  </si>
  <si>
    <t>Remaining</t>
  </si>
  <si>
    <t>Indian Bank</t>
  </si>
  <si>
    <t>HDFC Bank</t>
  </si>
  <si>
    <t>Cash</t>
  </si>
  <si>
    <t>Total</t>
  </si>
  <si>
    <t>Category</t>
  </si>
  <si>
    <t>Spent</t>
  </si>
  <si>
    <t>Room Rent</t>
  </si>
  <si>
    <t>Parents</t>
  </si>
  <si>
    <t>Fuel</t>
  </si>
  <si>
    <t>Groceries</t>
  </si>
  <si>
    <t>Eating Out</t>
  </si>
  <si>
    <t>Transport</t>
  </si>
  <si>
    <t>Mobile/Wifi</t>
  </si>
  <si>
    <t>Medicine</t>
  </si>
  <si>
    <t>Shopping</t>
  </si>
  <si>
    <t>Extra</t>
  </si>
  <si>
    <t>MONTHLY PLAN</t>
  </si>
  <si>
    <t>EXPENSE CATEGORIES</t>
  </si>
  <si>
    <t>DAILY EXPENSE TRACKER</t>
  </si>
  <si>
    <t>Date</t>
  </si>
  <si>
    <t>Description</t>
  </si>
  <si>
    <t>Amount</t>
  </si>
  <si>
    <t>Balance</t>
  </si>
  <si>
    <t>Total Budget</t>
  </si>
  <si>
    <t>Total Spent</t>
  </si>
  <si>
    <t>Total Remaining</t>
  </si>
  <si>
    <t>Days Left</t>
  </si>
  <si>
    <t>Daily Average Spend</t>
  </si>
  <si>
    <t>PAYMENT MODE</t>
  </si>
  <si>
    <t>CATEGORY</t>
  </si>
  <si>
    <t xml:space="preserve">📊 MONTHLY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</si>
</sst>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-F800]dddd\,\ mmmm\ dd\,\ yyyy"/>
    <numFmt numFmtId="170" formatCode="[$₹-449]\ #,##0.00"/>
  </numFmts>
  <fonts count="9" x14ac:knownFonts="1">
    <font>
      <sz val="11"/>
      <color theme="1"/>
      <name val="Aptos Narrow"/>
      <family val="2"/>
      <scheme val="minor"/>
    </font>
    <font>
      <sz val="11"/>
      <color rgb="FF0F141A"/>
      <name val="Aptos Display"/>
      <family val="2"/>
      <scheme val="major"/>
    </font>
    <font>
      <i/>
      <sz val="11"/>
      <color rgb="FF0F141A"/>
      <name val="Aptos Display"/>
      <family val="2"/>
      <scheme val="major"/>
    </font>
    <font>
      <b/>
      <sz val="11"/>
      <color rgb="FF0F141A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b/>
      <sz val="16"/>
      <color theme="0"/>
      <name val="Aptos Display"/>
      <family val="2"/>
      <scheme val="major"/>
    </font>
    <font>
      <b/>
      <sz val="16"/>
      <color theme="0"/>
      <name val="Arial"/>
      <family val="2"/>
    </font>
    <font>
      <b/>
      <sz val="18"/>
      <color theme="0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medium">
        <color rgb="FFD2D2D2"/>
      </left>
      <right style="medium">
        <color rgb="FFD2D2D2"/>
      </right>
      <top style="medium">
        <color rgb="FFD2D2D2"/>
      </top>
      <bottom style="medium">
        <color rgb="FFD2D2D2"/>
      </bottom>
      <diagonal/>
    </border>
    <border>
      <left style="medium">
        <color rgb="FFD2D2D2"/>
      </left>
      <right/>
      <top/>
      <bottom style="medium">
        <color rgb="FFD2D2D2"/>
      </bottom>
      <diagonal/>
    </border>
    <border>
      <left/>
      <right/>
      <top/>
      <bottom style="medium">
        <color rgb="FFD2D2D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169" fontId="0" fillId="0" borderId="0" xfId="0" applyNumberFormat="1"/>
    <xf numFmtId="170" fontId="0" fillId="0" borderId="0" xfId="0" applyNumberFormat="1"/>
    <xf numFmtId="14" fontId="2" fillId="2" borderId="1" xfId="0" applyNumberFormat="1" applyFont="1" applyFill="1" applyBorder="1" applyAlignment="1">
      <alignment horizontal="left" vertical="center" wrapText="1"/>
    </xf>
    <xf numFmtId="170" fontId="2" fillId="2" borderId="1" xfId="0" applyNumberFormat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Dashboard!$A$16:$A$25</c:f>
              <c:strCache>
                <c:ptCount val="10"/>
                <c:pt idx="0">
                  <c:v>Room Rent</c:v>
                </c:pt>
                <c:pt idx="1">
                  <c:v>Parents</c:v>
                </c:pt>
                <c:pt idx="2">
                  <c:v>Fuel</c:v>
                </c:pt>
                <c:pt idx="3">
                  <c:v>Groceries</c:v>
                </c:pt>
                <c:pt idx="4">
                  <c:v>Eating Out</c:v>
                </c:pt>
                <c:pt idx="5">
                  <c:v>Transport</c:v>
                </c:pt>
                <c:pt idx="6">
                  <c:v>Mobile/Wifi</c:v>
                </c:pt>
                <c:pt idx="7">
                  <c:v>Medicine</c:v>
                </c:pt>
                <c:pt idx="8">
                  <c:v>Shopping</c:v>
                </c:pt>
                <c:pt idx="9">
                  <c:v>Extra</c:v>
                </c:pt>
              </c:strCache>
            </c:strRef>
          </c:cat>
          <c:val>
            <c:numRef>
              <c:f>Dashboard!$B$16:$B$25</c:f>
              <c:numCache>
                <c:formatCode>[$₹-449]\ #,##0.00</c:formatCode>
                <c:ptCount val="10"/>
                <c:pt idx="0">
                  <c:v>3750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90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5-4D5E-84AC-463A5D4E7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7332480"/>
        <c:axId val="1407333920"/>
      </c:barChart>
      <c:valAx>
        <c:axId val="140733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49]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332480"/>
        <c:crossBetween val="between"/>
      </c:valAx>
      <c:catAx>
        <c:axId val="1407332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3339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b="0" i="0">
                <a:effectLst/>
              </a:rPr>
              <a:t>Balance by Payment Mode</a:t>
            </a:r>
          </a:p>
        </c:rich>
      </c:tx>
      <c:layout>
        <c:manualLayout>
          <c:xMode val="edge"/>
          <c:yMode val="edge"/>
          <c:x val="0.2837707786526684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(Dashboard!$A$10,Dashboard!$A$11,Dashboard!$A$12)</c:f>
              <c:strCache>
                <c:ptCount val="3"/>
                <c:pt idx="0">
                  <c:v>Indian Bank</c:v>
                </c:pt>
                <c:pt idx="1">
                  <c:v>HDFC Bank</c:v>
                </c:pt>
                <c:pt idx="2">
                  <c:v>Cash</c:v>
                </c:pt>
              </c:strCache>
            </c:strRef>
          </c:cat>
          <c:val>
            <c:numRef>
              <c:f>(Dashboard!$C$10,Dashboard!$C$11,Dashboard!$C$12)</c:f>
              <c:numCache>
                <c:formatCode>[$₹-449]\ #,##0.00</c:formatCode>
                <c:ptCount val="3"/>
                <c:pt idx="0">
                  <c:v>960</c:v>
                </c:pt>
                <c:pt idx="1">
                  <c:v>20750</c:v>
                </c:pt>
                <c:pt idx="2">
                  <c:v>9840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2-454B-8B01-C703AAACE1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63287599"/>
        <c:axId val="1863289039"/>
      </c:barChart>
      <c:catAx>
        <c:axId val="186328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289039"/>
        <c:crosses val="autoZero"/>
        <c:auto val="1"/>
        <c:lblAlgn val="ctr"/>
        <c:lblOffset val="100"/>
        <c:noMultiLvlLbl val="0"/>
      </c:catAx>
      <c:valAx>
        <c:axId val="186328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₹-44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28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136524</xdr:colOff>
      <xdr:row>2</xdr:row>
      <xdr:rowOff>139700</xdr:rowOff>
    </xdr:from>
    <xdr:to>
      <xdr:col>14</xdr:col>
      <xdr:colOff>6350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33253A-789B-20BB-4846-E6CAFE6B8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568324</xdr:colOff>
      <xdr:row>22</xdr:row>
      <xdr:rowOff>139700</xdr:rowOff>
    </xdr:from>
    <xdr:to>
      <xdr:col>13</xdr:col>
      <xdr:colOff>495299</xdr:colOff>
      <xdr:row>41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E82E6B-57F9-0370-3ACE-FCDDB70F7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4A50-CD46-454C-AAEB-B7C30D5F40CC}">
  <dimension ref="A1:F13"/>
  <sheetViews>
    <sheetView workbookViewId="0">
      <selection activeCell="A3" sqref="A3"/>
    </sheetView>
  </sheetViews>
  <sheetFormatPr defaultRowHeight="14.5" x14ac:dyDescent="0.35"/>
  <cols>
    <col min="1" max="1" width="17.26953125" customWidth="1"/>
    <col min="2" max="2" width="15" customWidth="1"/>
    <col min="3" max="3" width="13" customWidth="1"/>
    <col min="5" max="5" width="13.26953125" customWidth="1"/>
    <col min="6" max="6" width="18.7265625" customWidth="1"/>
  </cols>
  <sheetData>
    <row r="1" spans="1:6" ht="21.5" thickBot="1" x14ac:dyDescent="0.55000000000000004">
      <c r="A1" s="9" t="s">
        <v>19</v>
      </c>
      <c r="B1" s="10"/>
      <c r="C1" s="10"/>
      <c r="E1" s="11" t="s">
        <v>20</v>
      </c>
      <c r="F1" s="11"/>
    </row>
    <row r="2" spans="1:6" ht="15" thickBot="1" x14ac:dyDescent="0.4">
      <c r="A2" s="12" t="s">
        <v>0</v>
      </c>
      <c r="B2" s="12" t="s">
        <v>1</v>
      </c>
      <c r="C2" s="12" t="s">
        <v>2</v>
      </c>
      <c r="D2" s="4"/>
      <c r="E2" s="13" t="s">
        <v>7</v>
      </c>
      <c r="F2" s="13" t="s">
        <v>8</v>
      </c>
    </row>
    <row r="3" spans="1:6" ht="15" thickBot="1" x14ac:dyDescent="0.4">
      <c r="A3" s="1" t="s">
        <v>3</v>
      </c>
      <c r="B3" s="1">
        <v>1000</v>
      </c>
      <c r="C3" s="2">
        <f>B3-SUMIFS('Daily Tracker'!D:D,'Daily Tracker'!C:C,A3)</f>
        <v>960</v>
      </c>
      <c r="E3" s="1" t="s">
        <v>9</v>
      </c>
      <c r="F3" s="2">
        <f>SUMIFS('Daily Tracker'!D:D,'Daily Tracker'!B:B,E3)</f>
        <v>3750</v>
      </c>
    </row>
    <row r="4" spans="1:6" ht="15" thickBot="1" x14ac:dyDescent="0.4">
      <c r="A4" s="1" t="s">
        <v>4</v>
      </c>
      <c r="B4" s="1">
        <v>25000</v>
      </c>
      <c r="C4" s="2">
        <f>B4-SUMIFS('Daily Tracker'!D:D,'Daily Tracker'!C:C,A4)</f>
        <v>20750</v>
      </c>
      <c r="E4" s="1" t="s">
        <v>10</v>
      </c>
      <c r="F4" s="2">
        <f>SUMIFS('Daily Tracker'!D:D,'Daily Tracker'!B:B,E4)</f>
        <v>0</v>
      </c>
    </row>
    <row r="5" spans="1:6" ht="15" thickBot="1" x14ac:dyDescent="0.4">
      <c r="A5" s="1" t="s">
        <v>5</v>
      </c>
      <c r="B5" s="1">
        <v>10000</v>
      </c>
      <c r="C5" s="2">
        <f>B5-SUMIFS('Daily Tracker'!D:D,'Daily Tracker'!C:C,A5)</f>
        <v>9840</v>
      </c>
      <c r="E5" s="1" t="s">
        <v>11</v>
      </c>
      <c r="F5" s="2">
        <f>SUMIFS('Daily Tracker'!D:D,'Daily Tracker'!B:B,E5)</f>
        <v>0</v>
      </c>
    </row>
    <row r="6" spans="1:6" ht="15" thickBot="1" x14ac:dyDescent="0.4">
      <c r="A6" s="3" t="s">
        <v>6</v>
      </c>
      <c r="B6" s="2">
        <f>SUM(B3:B5)</f>
        <v>36000</v>
      </c>
      <c r="C6" s="2">
        <f>SUM(C3:C5)</f>
        <v>31550</v>
      </c>
      <c r="E6" s="1" t="s">
        <v>12</v>
      </c>
      <c r="F6" s="2">
        <f>SUMIFS('Daily Tracker'!D:D,'Daily Tracker'!B:B,E6)</f>
        <v>70</v>
      </c>
    </row>
    <row r="7" spans="1:6" ht="15" thickBot="1" x14ac:dyDescent="0.4">
      <c r="E7" s="1" t="s">
        <v>13</v>
      </c>
      <c r="F7" s="2">
        <f>SUMIFS('Daily Tracker'!D:D,'Daily Tracker'!B:B,E7)</f>
        <v>90</v>
      </c>
    </row>
    <row r="8" spans="1:6" ht="15" thickBot="1" x14ac:dyDescent="0.4">
      <c r="E8" s="1" t="s">
        <v>14</v>
      </c>
      <c r="F8" s="2">
        <f>SUMIFS('Daily Tracker'!D:D,'Daily Tracker'!B:B,E8)</f>
        <v>0</v>
      </c>
    </row>
    <row r="9" spans="1:6" ht="15" thickBot="1" x14ac:dyDescent="0.4">
      <c r="E9" s="1" t="s">
        <v>15</v>
      </c>
      <c r="F9" s="2">
        <f>SUMIFS('Daily Tracker'!D:D,'Daily Tracker'!B:B,E9)</f>
        <v>0</v>
      </c>
    </row>
    <row r="10" spans="1:6" ht="15" thickBot="1" x14ac:dyDescent="0.4">
      <c r="E10" s="1" t="s">
        <v>16</v>
      </c>
      <c r="F10" s="2">
        <f>SUMIFS('Daily Tracker'!D:D,'Daily Tracker'!B:B,E10)</f>
        <v>0</v>
      </c>
    </row>
    <row r="11" spans="1:6" ht="15" thickBot="1" x14ac:dyDescent="0.4">
      <c r="E11" s="1" t="s">
        <v>17</v>
      </c>
      <c r="F11" s="2">
        <f>SUMIFS('Daily Tracker'!D:D,'Daily Tracker'!B:B,E11)</f>
        <v>0</v>
      </c>
    </row>
    <row r="12" spans="1:6" ht="15" thickBot="1" x14ac:dyDescent="0.4">
      <c r="E12" s="1" t="s">
        <v>18</v>
      </c>
      <c r="F12" s="2">
        <f>SUMIFS('Daily Tracker'!D:D,'Daily Tracker'!B:B,E12)</f>
        <v>500</v>
      </c>
    </row>
    <row r="13" spans="1:6" ht="15" thickBot="1" x14ac:dyDescent="0.4">
      <c r="E13" s="3" t="s">
        <v>6</v>
      </c>
      <c r="F13" s="2">
        <f>SUM(F3:F12)</f>
        <v>4410</v>
      </c>
    </row>
  </sheetData>
  <mergeCells count="2">
    <mergeCell ref="A1:C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9B51-BBDD-497E-AA87-BB443D2CADDD}">
  <dimension ref="A1:E100"/>
  <sheetViews>
    <sheetView workbookViewId="0">
      <selection activeCell="A7" sqref="A7"/>
    </sheetView>
  </sheetViews>
  <sheetFormatPr defaultRowHeight="14.5" x14ac:dyDescent="0.35"/>
  <cols>
    <col min="1" max="1" width="14.81640625" customWidth="1"/>
    <col min="2" max="2" width="16.26953125" customWidth="1"/>
    <col min="3" max="3" width="14.54296875" customWidth="1"/>
    <col min="4" max="4" width="11.453125" customWidth="1"/>
    <col min="5" max="5" width="11.54296875" customWidth="1"/>
  </cols>
  <sheetData>
    <row r="1" spans="1:5" ht="20" x14ac:dyDescent="0.35">
      <c r="A1" s="16" t="s">
        <v>21</v>
      </c>
      <c r="B1" s="16"/>
      <c r="C1" s="16"/>
      <c r="D1" s="16"/>
      <c r="E1" s="16"/>
    </row>
    <row r="2" spans="1:5" x14ac:dyDescent="0.35">
      <c r="A2" s="14" t="s">
        <v>22</v>
      </c>
      <c r="B2" s="15" t="s">
        <v>23</v>
      </c>
      <c r="C2" s="14" t="s">
        <v>0</v>
      </c>
      <c r="D2" s="15" t="s">
        <v>24</v>
      </c>
      <c r="E2" s="15" t="s">
        <v>25</v>
      </c>
    </row>
    <row r="3" spans="1:5" x14ac:dyDescent="0.35">
      <c r="A3" s="5">
        <v>46082</v>
      </c>
      <c r="B3" t="s">
        <v>9</v>
      </c>
      <c r="C3" t="s">
        <v>4</v>
      </c>
      <c r="D3" s="6">
        <v>3750</v>
      </c>
      <c r="E3" s="6">
        <f>IFERROR(VLOOKUP(C3,Setup!$A$3:$B$5,2,FALSE)-SUMIFS(D$3:D3,C$3:C3,C3),"")</f>
        <v>21250</v>
      </c>
    </row>
    <row r="4" spans="1:5" x14ac:dyDescent="0.35">
      <c r="A4" s="5">
        <v>46083</v>
      </c>
      <c r="B4" t="s">
        <v>18</v>
      </c>
      <c r="C4" t="s">
        <v>4</v>
      </c>
      <c r="D4" s="6">
        <v>500</v>
      </c>
      <c r="E4" s="6">
        <f>IFERROR(VLOOKUP(C4,Setup!$A$3:$B$5,2,FALSE)-SUMIFS(D$3:D4,C$3:C4,C4),"")</f>
        <v>20750</v>
      </c>
    </row>
    <row r="5" spans="1:5" x14ac:dyDescent="0.35">
      <c r="A5" s="5">
        <v>46083</v>
      </c>
      <c r="B5" t="s">
        <v>12</v>
      </c>
      <c r="C5" t="s">
        <v>5</v>
      </c>
      <c r="D5" s="6">
        <v>70</v>
      </c>
      <c r="E5" s="6">
        <f>IFERROR(VLOOKUP(C5,Setup!$A$3:$B$5,2,FALSE)-SUMIFS(D$3:D5,C$3:C5,C5),"")</f>
        <v>9930</v>
      </c>
    </row>
    <row r="6" spans="1:5" x14ac:dyDescent="0.35">
      <c r="A6" s="5"/>
      <c r="B6" t="s">
        <v>13</v>
      </c>
      <c r="C6" t="s">
        <v>5</v>
      </c>
      <c r="D6" s="6">
        <v>90</v>
      </c>
      <c r="E6" s="6">
        <f>IFERROR(VLOOKUP(C6,Setup!$A$3:$B$5,2,FALSE)-SUMIFS(D$3:D6,C$3:C6,C6),"")</f>
        <v>9840</v>
      </c>
    </row>
    <row r="7" spans="1:5" x14ac:dyDescent="0.35">
      <c r="A7" s="5"/>
      <c r="C7" t="s">
        <v>3</v>
      </c>
      <c r="D7" s="6">
        <v>40</v>
      </c>
      <c r="E7" s="6">
        <f>IFERROR(VLOOKUP(C7,Setup!$A$3:$B$5,2,FALSE)-SUMIFS(D$3:D7,C$3:C7,C7),"")</f>
        <v>960</v>
      </c>
    </row>
    <row r="8" spans="1:5" x14ac:dyDescent="0.35">
      <c r="A8" s="5"/>
      <c r="D8" s="6"/>
      <c r="E8" s="6"/>
    </row>
    <row r="9" spans="1:5" x14ac:dyDescent="0.35">
      <c r="A9" s="5"/>
      <c r="D9" s="6"/>
      <c r="E9" s="6"/>
    </row>
    <row r="10" spans="1:5" x14ac:dyDescent="0.35">
      <c r="A10" s="5"/>
      <c r="D10" s="6"/>
      <c r="E10" s="6"/>
    </row>
    <row r="11" spans="1:5" x14ac:dyDescent="0.35">
      <c r="A11" s="5"/>
      <c r="D11" s="6"/>
      <c r="E11" s="6"/>
    </row>
    <row r="12" spans="1:5" x14ac:dyDescent="0.35">
      <c r="A12" s="5"/>
      <c r="D12" s="6"/>
      <c r="E12" s="6"/>
    </row>
    <row r="13" spans="1:5" x14ac:dyDescent="0.35">
      <c r="A13" s="5"/>
      <c r="D13" s="6"/>
      <c r="E13" s="6"/>
    </row>
    <row r="14" spans="1:5" x14ac:dyDescent="0.35">
      <c r="A14" s="5"/>
      <c r="D14" s="6"/>
      <c r="E14" s="6"/>
    </row>
    <row r="15" spans="1:5" x14ac:dyDescent="0.35">
      <c r="A15" s="5"/>
      <c r="D15" s="6"/>
      <c r="E15" s="6"/>
    </row>
    <row r="16" spans="1:5" x14ac:dyDescent="0.35">
      <c r="A16" s="5"/>
      <c r="D16" s="6"/>
      <c r="E16" s="6"/>
    </row>
    <row r="17" spans="1:5" x14ac:dyDescent="0.35">
      <c r="A17" s="5"/>
      <c r="D17" s="6"/>
      <c r="E17" s="6"/>
    </row>
    <row r="18" spans="1:5" x14ac:dyDescent="0.35">
      <c r="A18" s="5"/>
      <c r="D18" s="6"/>
      <c r="E18" s="6"/>
    </row>
    <row r="19" spans="1:5" x14ac:dyDescent="0.35">
      <c r="A19" s="5"/>
      <c r="D19" s="6"/>
      <c r="E19" s="6"/>
    </row>
    <row r="20" spans="1:5" x14ac:dyDescent="0.35">
      <c r="A20" s="5"/>
      <c r="D20" s="6"/>
      <c r="E20" s="6"/>
    </row>
    <row r="21" spans="1:5" x14ac:dyDescent="0.35">
      <c r="A21" s="5"/>
      <c r="D21" s="6"/>
      <c r="E21" s="6"/>
    </row>
    <row r="22" spans="1:5" x14ac:dyDescent="0.35">
      <c r="A22" s="5"/>
      <c r="D22" s="6"/>
      <c r="E22" s="6"/>
    </row>
    <row r="23" spans="1:5" x14ac:dyDescent="0.35">
      <c r="A23" s="5"/>
      <c r="D23" s="6"/>
      <c r="E23" s="6"/>
    </row>
    <row r="24" spans="1:5" x14ac:dyDescent="0.35">
      <c r="A24" s="5"/>
      <c r="D24" s="6"/>
      <c r="E24" s="6"/>
    </row>
    <row r="25" spans="1:5" x14ac:dyDescent="0.35">
      <c r="A25" s="5"/>
      <c r="D25" s="6"/>
      <c r="E25" s="6"/>
    </row>
    <row r="26" spans="1:5" x14ac:dyDescent="0.35">
      <c r="A26" s="5"/>
      <c r="D26" s="6"/>
      <c r="E26" s="6"/>
    </row>
    <row r="27" spans="1:5" x14ac:dyDescent="0.35">
      <c r="A27" s="5"/>
      <c r="D27" s="6"/>
      <c r="E27" s="6"/>
    </row>
    <row r="28" spans="1:5" x14ac:dyDescent="0.35">
      <c r="A28" s="5"/>
      <c r="D28" s="6"/>
      <c r="E28" s="6"/>
    </row>
    <row r="29" spans="1:5" x14ac:dyDescent="0.35">
      <c r="A29" s="5"/>
      <c r="D29" s="6"/>
      <c r="E29" s="6"/>
    </row>
    <row r="30" spans="1:5" x14ac:dyDescent="0.35">
      <c r="A30" s="5"/>
      <c r="D30" s="6"/>
      <c r="E30" s="6"/>
    </row>
    <row r="31" spans="1:5" x14ac:dyDescent="0.35">
      <c r="A31" s="5"/>
      <c r="D31" s="6"/>
      <c r="E31" s="6"/>
    </row>
    <row r="32" spans="1:5" x14ac:dyDescent="0.35">
      <c r="A32" s="5"/>
      <c r="D32" s="6"/>
      <c r="E32" s="6"/>
    </row>
    <row r="33" spans="1:5" x14ac:dyDescent="0.35">
      <c r="A33" s="5"/>
      <c r="D33" s="6"/>
      <c r="E33" s="6"/>
    </row>
    <row r="34" spans="1:5" x14ac:dyDescent="0.35">
      <c r="A34" s="5"/>
      <c r="D34" s="6"/>
      <c r="E34" s="6"/>
    </row>
    <row r="35" spans="1:5" x14ac:dyDescent="0.35">
      <c r="A35" s="5"/>
      <c r="D35" s="6"/>
      <c r="E35" s="6"/>
    </row>
    <row r="36" spans="1:5" x14ac:dyDescent="0.35">
      <c r="A36" s="5"/>
      <c r="D36" s="6"/>
      <c r="E36" s="6"/>
    </row>
    <row r="37" spans="1:5" x14ac:dyDescent="0.35">
      <c r="A37" s="5"/>
      <c r="D37" s="6"/>
      <c r="E37" s="6"/>
    </row>
    <row r="38" spans="1:5" x14ac:dyDescent="0.35">
      <c r="A38" s="5"/>
      <c r="D38" s="6"/>
      <c r="E38" s="6"/>
    </row>
    <row r="39" spans="1:5" x14ac:dyDescent="0.35">
      <c r="A39" s="5"/>
      <c r="D39" s="6"/>
      <c r="E39" s="6"/>
    </row>
    <row r="40" spans="1:5" x14ac:dyDescent="0.35">
      <c r="A40" s="5"/>
      <c r="D40" s="6"/>
      <c r="E40" s="6"/>
    </row>
    <row r="41" spans="1:5" x14ac:dyDescent="0.35">
      <c r="A41" s="5"/>
      <c r="D41" s="6"/>
      <c r="E41" s="6"/>
    </row>
    <row r="42" spans="1:5" x14ac:dyDescent="0.35">
      <c r="A42" s="5"/>
      <c r="D42" s="6"/>
      <c r="E42" s="6"/>
    </row>
    <row r="43" spans="1:5" x14ac:dyDescent="0.35">
      <c r="A43" s="5"/>
      <c r="D43" s="6"/>
      <c r="E43" s="6"/>
    </row>
    <row r="44" spans="1:5" x14ac:dyDescent="0.35">
      <c r="A44" s="5"/>
      <c r="D44" s="6"/>
      <c r="E44" s="6"/>
    </row>
    <row r="45" spans="1:5" x14ac:dyDescent="0.35">
      <c r="A45" s="5"/>
      <c r="D45" s="6"/>
      <c r="E45" s="6"/>
    </row>
    <row r="46" spans="1:5" x14ac:dyDescent="0.35">
      <c r="A46" s="5"/>
      <c r="D46" s="6"/>
      <c r="E46" s="6"/>
    </row>
    <row r="47" spans="1:5" x14ac:dyDescent="0.35">
      <c r="A47" s="5"/>
      <c r="D47" s="6"/>
      <c r="E47" s="6"/>
    </row>
    <row r="48" spans="1:5" x14ac:dyDescent="0.35">
      <c r="A48" s="5"/>
      <c r="D48" s="6"/>
      <c r="E48" s="6"/>
    </row>
    <row r="49" spans="1:5" x14ac:dyDescent="0.35">
      <c r="A49" s="5"/>
      <c r="D49" s="6"/>
      <c r="E49" s="6"/>
    </row>
    <row r="50" spans="1:5" x14ac:dyDescent="0.35">
      <c r="A50" s="5"/>
      <c r="D50" s="6"/>
      <c r="E50" s="6"/>
    </row>
    <row r="51" spans="1:5" x14ac:dyDescent="0.35">
      <c r="A51" s="5"/>
      <c r="D51" s="6"/>
      <c r="E51" s="6"/>
    </row>
    <row r="52" spans="1:5" x14ac:dyDescent="0.35">
      <c r="A52" s="5"/>
      <c r="D52" s="6"/>
      <c r="E52" s="6"/>
    </row>
    <row r="53" spans="1:5" x14ac:dyDescent="0.35">
      <c r="A53" s="5"/>
      <c r="D53" s="6"/>
      <c r="E53" s="6"/>
    </row>
    <row r="54" spans="1:5" x14ac:dyDescent="0.35">
      <c r="A54" s="5"/>
      <c r="D54" s="6"/>
      <c r="E54" s="6"/>
    </row>
    <row r="55" spans="1:5" x14ac:dyDescent="0.35">
      <c r="A55" s="5"/>
      <c r="D55" s="6"/>
      <c r="E55" s="6"/>
    </row>
    <row r="56" spans="1:5" x14ac:dyDescent="0.35">
      <c r="A56" s="5"/>
      <c r="D56" s="6"/>
      <c r="E56" s="6"/>
    </row>
    <row r="57" spans="1:5" x14ac:dyDescent="0.35">
      <c r="A57" s="5"/>
      <c r="D57" s="6"/>
      <c r="E57" s="6"/>
    </row>
    <row r="58" spans="1:5" x14ac:dyDescent="0.35">
      <c r="A58" s="5"/>
      <c r="D58" s="6"/>
      <c r="E58" s="6"/>
    </row>
    <row r="59" spans="1:5" x14ac:dyDescent="0.35">
      <c r="A59" s="5"/>
      <c r="D59" s="6"/>
      <c r="E59" s="6"/>
    </row>
    <row r="60" spans="1:5" x14ac:dyDescent="0.35">
      <c r="A60" s="5"/>
      <c r="D60" s="6"/>
      <c r="E60" s="6"/>
    </row>
    <row r="61" spans="1:5" x14ac:dyDescent="0.35">
      <c r="A61" s="5"/>
      <c r="D61" s="6"/>
      <c r="E61" s="6"/>
    </row>
    <row r="62" spans="1:5" x14ac:dyDescent="0.35">
      <c r="A62" s="5"/>
      <c r="D62" s="6"/>
      <c r="E62" s="6"/>
    </row>
    <row r="63" spans="1:5" x14ac:dyDescent="0.35">
      <c r="A63" s="5"/>
      <c r="D63" s="6"/>
      <c r="E63" s="6"/>
    </row>
    <row r="64" spans="1:5" x14ac:dyDescent="0.35">
      <c r="A64" s="5"/>
      <c r="D64" s="6"/>
      <c r="E64" s="6"/>
    </row>
    <row r="65" spans="1:5" x14ac:dyDescent="0.35">
      <c r="A65" s="5"/>
      <c r="D65" s="6"/>
      <c r="E65" s="6"/>
    </row>
    <row r="66" spans="1:5" x14ac:dyDescent="0.35">
      <c r="A66" s="5"/>
      <c r="D66" s="6"/>
      <c r="E66" s="6"/>
    </row>
    <row r="67" spans="1:5" x14ac:dyDescent="0.35">
      <c r="A67" s="5"/>
      <c r="D67" s="6"/>
      <c r="E67" s="6"/>
    </row>
    <row r="68" spans="1:5" x14ac:dyDescent="0.35">
      <c r="A68" s="5"/>
      <c r="D68" s="6"/>
      <c r="E68" s="6"/>
    </row>
    <row r="69" spans="1:5" x14ac:dyDescent="0.35">
      <c r="A69" s="5"/>
      <c r="D69" s="6"/>
      <c r="E69" s="6"/>
    </row>
    <row r="70" spans="1:5" x14ac:dyDescent="0.35">
      <c r="A70" s="5"/>
      <c r="D70" s="6"/>
      <c r="E70" s="6"/>
    </row>
    <row r="71" spans="1:5" x14ac:dyDescent="0.35">
      <c r="A71" s="5"/>
      <c r="D71" s="6"/>
      <c r="E71" s="6"/>
    </row>
    <row r="72" spans="1:5" x14ac:dyDescent="0.35">
      <c r="A72" s="5"/>
      <c r="D72" s="6"/>
      <c r="E72" s="6"/>
    </row>
    <row r="73" spans="1:5" x14ac:dyDescent="0.35">
      <c r="A73" s="5"/>
      <c r="D73" s="6"/>
      <c r="E73" s="6"/>
    </row>
    <row r="74" spans="1:5" x14ac:dyDescent="0.35">
      <c r="A74" s="5"/>
      <c r="D74" s="6"/>
      <c r="E74" s="6"/>
    </row>
    <row r="75" spans="1:5" x14ac:dyDescent="0.35">
      <c r="A75" s="5"/>
      <c r="D75" s="6"/>
      <c r="E75" s="6"/>
    </row>
    <row r="76" spans="1:5" x14ac:dyDescent="0.35">
      <c r="A76" s="5"/>
      <c r="D76" s="6"/>
      <c r="E76" s="6"/>
    </row>
    <row r="77" spans="1:5" x14ac:dyDescent="0.35">
      <c r="A77" s="5"/>
      <c r="D77" s="6"/>
      <c r="E77" s="6"/>
    </row>
    <row r="78" spans="1:5" x14ac:dyDescent="0.35">
      <c r="A78" s="5"/>
      <c r="D78" s="6"/>
      <c r="E78" s="6"/>
    </row>
    <row r="79" spans="1:5" x14ac:dyDescent="0.35">
      <c r="A79" s="5"/>
      <c r="D79" s="6"/>
      <c r="E79" s="6"/>
    </row>
    <row r="80" spans="1:5" x14ac:dyDescent="0.35">
      <c r="A80" s="5"/>
      <c r="D80" s="6"/>
      <c r="E80" s="6"/>
    </row>
    <row r="81" spans="1:5" x14ac:dyDescent="0.35">
      <c r="A81" s="5"/>
      <c r="D81" s="6"/>
      <c r="E81" s="6"/>
    </row>
    <row r="82" spans="1:5" x14ac:dyDescent="0.35">
      <c r="A82" s="5"/>
      <c r="D82" s="6"/>
      <c r="E82" s="6"/>
    </row>
    <row r="83" spans="1:5" x14ac:dyDescent="0.35">
      <c r="A83" s="5"/>
      <c r="D83" s="6"/>
      <c r="E83" s="6"/>
    </row>
    <row r="84" spans="1:5" x14ac:dyDescent="0.35">
      <c r="A84" s="5"/>
      <c r="D84" s="6"/>
      <c r="E84" s="6"/>
    </row>
    <row r="85" spans="1:5" x14ac:dyDescent="0.35">
      <c r="A85" s="5"/>
      <c r="D85" s="6"/>
      <c r="E85" s="6"/>
    </row>
    <row r="86" spans="1:5" x14ac:dyDescent="0.35">
      <c r="A86" s="5"/>
      <c r="D86" s="6"/>
      <c r="E86" s="6"/>
    </row>
    <row r="87" spans="1:5" x14ac:dyDescent="0.35">
      <c r="A87" s="5"/>
      <c r="D87" s="6"/>
      <c r="E87" s="6"/>
    </row>
    <row r="88" spans="1:5" x14ac:dyDescent="0.35">
      <c r="A88" s="5"/>
      <c r="D88" s="6"/>
      <c r="E88" s="6"/>
    </row>
    <row r="89" spans="1:5" x14ac:dyDescent="0.35">
      <c r="A89" s="5"/>
      <c r="D89" s="6"/>
      <c r="E89" s="6"/>
    </row>
    <row r="90" spans="1:5" x14ac:dyDescent="0.35">
      <c r="A90" s="5"/>
      <c r="D90" s="6"/>
      <c r="E90" s="6"/>
    </row>
    <row r="91" spans="1:5" x14ac:dyDescent="0.35">
      <c r="A91" s="5"/>
      <c r="D91" s="6"/>
      <c r="E91" s="6"/>
    </row>
    <row r="92" spans="1:5" x14ac:dyDescent="0.35">
      <c r="A92" s="5"/>
      <c r="D92" s="6"/>
      <c r="E92" s="6"/>
    </row>
    <row r="93" spans="1:5" x14ac:dyDescent="0.35">
      <c r="A93" s="5"/>
      <c r="D93" s="6"/>
      <c r="E93" s="6"/>
    </row>
    <row r="94" spans="1:5" x14ac:dyDescent="0.35">
      <c r="A94" s="5"/>
      <c r="D94" s="6"/>
      <c r="E94" s="6"/>
    </row>
    <row r="95" spans="1:5" x14ac:dyDescent="0.35">
      <c r="A95" s="5"/>
      <c r="D95" s="6"/>
      <c r="E95" s="6"/>
    </row>
    <row r="96" spans="1:5" x14ac:dyDescent="0.35">
      <c r="A96" s="5"/>
      <c r="D96" s="6"/>
      <c r="E96" s="6"/>
    </row>
    <row r="97" spans="1:5" x14ac:dyDescent="0.35">
      <c r="A97" s="5"/>
      <c r="D97" s="6"/>
      <c r="E97" s="6"/>
    </row>
    <row r="98" spans="1:5" x14ac:dyDescent="0.35">
      <c r="A98" s="5"/>
      <c r="D98" s="6"/>
      <c r="E98" s="6"/>
    </row>
    <row r="99" spans="1:5" x14ac:dyDescent="0.35">
      <c r="A99" s="5"/>
      <c r="D99" s="6"/>
      <c r="E99" s="6"/>
    </row>
    <row r="100" spans="1:5" x14ac:dyDescent="0.35">
      <c r="A100" s="5"/>
      <c r="D100" s="6"/>
      <c r="E100" s="6"/>
    </row>
  </sheetData>
  <mergeCells count="1">
    <mergeCell ref="A1:E1"/>
  </mergeCells>
  <dataValidations count="2">
    <dataValidation type="list" allowBlank="1" showInputMessage="1" showErrorMessage="1" sqref="B3:B100" xr:uid="{EAF2F3D6-81E9-46F5-88DD-FB696996F265}">
      <formula1>Category</formula1>
    </dataValidation>
    <dataValidation type="list" allowBlank="1" showInputMessage="1" showErrorMessage="1" sqref="C3:C100" xr:uid="{F796E8CE-93AF-4102-B541-AD5ADA325D44}">
      <formula1>Payment</formula1>
    </dataValidation>
  </dataValidations>
  <pageMargins left="0.7" right="0.7" top="0.75" bottom="0.75" header="0.3" footer="0.3"/>
  <ignoredErrors>
    <ignoredError sqref="E4:E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BF36-2BC6-43C8-98C1-0C629D586D6C}">
  <dimension ref="A1:N26"/>
  <sheetViews>
    <sheetView tabSelected="1" topLeftCell="A9" workbookViewId="0">
      <selection activeCell="C3" sqref="C3"/>
    </sheetView>
  </sheetViews>
  <sheetFormatPr defaultRowHeight="14.5" x14ac:dyDescent="0.35"/>
  <cols>
    <col min="1" max="1" width="15" customWidth="1"/>
    <col min="2" max="2" width="15.1796875" customWidth="1"/>
    <col min="3" max="3" width="13.453125" customWidth="1"/>
  </cols>
  <sheetData>
    <row r="1" spans="1:14" ht="23.5" x14ac:dyDescent="0.35">
      <c r="A1" s="19" t="s">
        <v>33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5" thickBot="1" x14ac:dyDescent="0.4"/>
    <row r="3" spans="1:14" ht="15" thickBot="1" x14ac:dyDescent="0.4">
      <c r="A3" s="17" t="s">
        <v>26</v>
      </c>
      <c r="B3" s="8">
        <f>Setup!B6</f>
        <v>36000</v>
      </c>
    </row>
    <row r="4" spans="1:14" ht="15" thickBot="1" x14ac:dyDescent="0.4">
      <c r="A4" s="17" t="s">
        <v>27</v>
      </c>
      <c r="B4" s="8">
        <f>Setup!F13</f>
        <v>4410</v>
      </c>
    </row>
    <row r="5" spans="1:14" ht="15" thickBot="1" x14ac:dyDescent="0.4">
      <c r="A5" s="17" t="s">
        <v>28</v>
      </c>
      <c r="B5" s="8">
        <f>B3-B4</f>
        <v>31590</v>
      </c>
    </row>
    <row r="6" spans="1:14" ht="15" thickBot="1" x14ac:dyDescent="0.4">
      <c r="A6" s="17" t="s">
        <v>29</v>
      </c>
      <c r="B6" s="7">
        <f ca="1">EOMONTH(TODAY(),0)-TODAY()</f>
        <v>28</v>
      </c>
    </row>
    <row r="7" spans="1:14" ht="29.5" thickBot="1" x14ac:dyDescent="0.4">
      <c r="A7" s="17" t="s">
        <v>30</v>
      </c>
      <c r="B7" s="8">
        <f ca="1">IFERROR(B4/DAY(TODAY()),"")</f>
        <v>1470</v>
      </c>
    </row>
    <row r="8" spans="1:14" ht="15" thickBot="1" x14ac:dyDescent="0.4"/>
    <row r="9" spans="1:14" ht="29.5" thickBot="1" x14ac:dyDescent="0.4">
      <c r="A9" s="18" t="s">
        <v>31</v>
      </c>
      <c r="B9" s="18" t="s">
        <v>25</v>
      </c>
      <c r="C9" s="18" t="s">
        <v>2</v>
      </c>
    </row>
    <row r="10" spans="1:14" ht="15" thickBot="1" x14ac:dyDescent="0.4">
      <c r="A10" s="1" t="s">
        <v>3</v>
      </c>
      <c r="B10" s="8">
        <f>Setup!B3</f>
        <v>1000</v>
      </c>
      <c r="C10" s="8">
        <f>Setup!C3</f>
        <v>960</v>
      </c>
    </row>
    <row r="11" spans="1:14" ht="15" thickBot="1" x14ac:dyDescent="0.4">
      <c r="A11" s="1" t="s">
        <v>4</v>
      </c>
      <c r="B11" s="8">
        <f>Setup!B4</f>
        <v>25000</v>
      </c>
      <c r="C11" s="8">
        <f>Setup!C4</f>
        <v>20750</v>
      </c>
    </row>
    <row r="12" spans="1:14" ht="15" thickBot="1" x14ac:dyDescent="0.4">
      <c r="A12" s="1" t="s">
        <v>5</v>
      </c>
      <c r="B12" s="8">
        <f>Setup!B5</f>
        <v>10000</v>
      </c>
      <c r="C12" s="8">
        <f>Setup!C5</f>
        <v>9840</v>
      </c>
    </row>
    <row r="13" spans="1:14" ht="15" thickBot="1" x14ac:dyDescent="0.4">
      <c r="A13" s="3" t="s">
        <v>6</v>
      </c>
      <c r="B13" s="8">
        <f>Setup!B6</f>
        <v>36000</v>
      </c>
      <c r="C13" s="8">
        <f>Setup!C6</f>
        <v>31550</v>
      </c>
    </row>
    <row r="14" spans="1:14" ht="15" thickBot="1" x14ac:dyDescent="0.4"/>
    <row r="15" spans="1:14" ht="15" thickBot="1" x14ac:dyDescent="0.4">
      <c r="A15" s="18" t="s">
        <v>32</v>
      </c>
      <c r="B15" s="18" t="s">
        <v>8</v>
      </c>
    </row>
    <row r="16" spans="1:14" ht="15" thickBot="1" x14ac:dyDescent="0.4">
      <c r="A16" s="1" t="s">
        <v>9</v>
      </c>
      <c r="B16" s="8">
        <f>Setup!F3</f>
        <v>3750</v>
      </c>
    </row>
    <row r="17" spans="1:2" ht="15" thickBot="1" x14ac:dyDescent="0.4">
      <c r="A17" s="1" t="s">
        <v>10</v>
      </c>
      <c r="B17" s="8">
        <f>Setup!F4</f>
        <v>0</v>
      </c>
    </row>
    <row r="18" spans="1:2" ht="15" thickBot="1" x14ac:dyDescent="0.4">
      <c r="A18" s="1" t="s">
        <v>11</v>
      </c>
      <c r="B18" s="8">
        <f>Setup!F5</f>
        <v>0</v>
      </c>
    </row>
    <row r="19" spans="1:2" ht="15" thickBot="1" x14ac:dyDescent="0.4">
      <c r="A19" s="1" t="s">
        <v>12</v>
      </c>
      <c r="B19" s="8">
        <f>Setup!F6</f>
        <v>70</v>
      </c>
    </row>
    <row r="20" spans="1:2" ht="15" thickBot="1" x14ac:dyDescent="0.4">
      <c r="A20" s="1" t="s">
        <v>13</v>
      </c>
      <c r="B20" s="8">
        <f>Setup!F7</f>
        <v>90</v>
      </c>
    </row>
    <row r="21" spans="1:2" ht="15" thickBot="1" x14ac:dyDescent="0.4">
      <c r="A21" s="1" t="s">
        <v>14</v>
      </c>
      <c r="B21" s="8">
        <f>Setup!F8</f>
        <v>0</v>
      </c>
    </row>
    <row r="22" spans="1:2" ht="15" thickBot="1" x14ac:dyDescent="0.4">
      <c r="A22" s="1" t="s">
        <v>15</v>
      </c>
      <c r="B22" s="8">
        <f>Setup!F9</f>
        <v>0</v>
      </c>
    </row>
    <row r="23" spans="1:2" ht="15" thickBot="1" x14ac:dyDescent="0.4">
      <c r="A23" s="1" t="s">
        <v>16</v>
      </c>
      <c r="B23" s="8">
        <f>Setup!F10</f>
        <v>0</v>
      </c>
    </row>
    <row r="24" spans="1:2" ht="15" thickBot="1" x14ac:dyDescent="0.4">
      <c r="A24" s="1" t="s">
        <v>17</v>
      </c>
      <c r="B24" s="8">
        <f>Setup!F11</f>
        <v>0</v>
      </c>
    </row>
    <row r="25" spans="1:2" ht="15" thickBot="1" x14ac:dyDescent="0.4">
      <c r="A25" s="1" t="s">
        <v>18</v>
      </c>
      <c r="B25" s="8">
        <f>Setup!F12</f>
        <v>500</v>
      </c>
    </row>
    <row r="26" spans="1:2" ht="15" thickBot="1" x14ac:dyDescent="0.4">
      <c r="A26" s="3" t="s">
        <v>6</v>
      </c>
      <c r="B26" s="8">
        <f>Setup!F13</f>
        <v>4410</v>
      </c>
    </row>
  </sheetData>
  <mergeCells count="1"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Setup</vt:lpstr>
      <vt:lpstr>Daily Tracker</vt:lpstr>
      <vt:lpstr>Dashboard</vt:lpstr>
      <vt:lpstr>Category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Subbiah, Muthaiah (Cognizant)</dc:creator>
  <cp:lastModifiedBy>Subbiah, Muthaiah (Cognizant)</cp:lastModifiedBy>
  <dcterms:created xsi:type="dcterms:W3CDTF">2026-03-03T04:09:54Z</dcterms:created>
  <dcterms:modified xsi:type="dcterms:W3CDTF">2026-03-03T05:08:13Z</dcterms:modified>
</cp:coreProperties>
</file>